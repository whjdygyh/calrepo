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ae49bea25b41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内容主表" sheetId="1" r:id="R5fefb8cc9f1c41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516B"/>
      <x:name val="Carlito"/>
    </x:font>
    <x:font>
      <x:sz val="11"/>
      <x:color rgb="FF725B25"/>
      <x:name val="Carlito"/>
    </x:font>
    <x:font>
      <x:b/>
      <x:sz val="11"/>
      <x:color rgb="FFFFFFFF"/>
      <x:name val="Carlito"/>
    </x:font>
    <x:font>
      <x:b/>
      <x:sz val="11"/>
      <x:color rgb="FF173B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B5D"/>
      </x:patternFill>
    </x:fill>
    <x:fill>
      <x:patternFill patternType="solid">
        <x:fgColor rgb="FFEAF2F8"/>
      </x:patternFill>
    </x:fill>
    <x:fill>
      <x:patternFill patternType="solid">
        <x:fgColor rgb="FFF7F3E8"/>
      </x:patternFill>
    </x:fill>
    <x:fill>
      <x:patternFill patternType="solid">
        <x:fgColor rgb="FF2E6F95"/>
      </x:patternFill>
    </x:fill>
    <x:fill>
      <x:patternFill patternType="solid">
        <x:fgColor rgb="FFEFF6FB"/>
      </x:patternFill>
    </x:fill>
    <x:fill>
      <x:patternFill patternType="solid">
        <x:fgColor rgb="FFF7FAFC"/>
      </x:patternFill>
    </x:fill>
  </x:fills>
  <x:borders count="13">
    <x:border/>
    <x:border>
      <x:left style="thin">
        <x:color rgb="FF1B4B67"/>
      </x:left>
      <x:top style="thin">
        <x:color rgb="FF1B4B67"/>
      </x:top>
      <x:bottom style="thin">
        <x:color rgb="FF1B4B67"/>
      </x:bottom>
    </x:border>
    <x:border>
      <x:top style="thin">
        <x:color rgb="FF1B4B67"/>
      </x:top>
      <x:bottom style="thin">
        <x:color rgb="FF1B4B67"/>
      </x:bottom>
    </x:border>
    <x:border>
      <x:right style="thin">
        <x:color rgb="FF1B4B67"/>
      </x:right>
      <x:top style="thin">
        <x:color rgb="FF1B4B67"/>
      </x:top>
      <x:bottom style="thin">
        <x:color rgb="FF1B4B67"/>
      </x:bottom>
    </x:border>
    <x:border>
      <x:right style="thin">
        <x:color rgb="FFD7E1E8"/>
      </x:right>
      <x:bottom style="thin">
        <x:color rgb="FFD7E1E8"/>
      </x:bottom>
    </x:border>
    <x:border>
      <x:left style="thin">
        <x:color rgb="FFD7E1E8"/>
      </x:left>
      <x:right style="thin">
        <x:color rgb="FFD7E1E8"/>
      </x:right>
      <x:bottom style="thin">
        <x:color rgb="FFD7E1E8"/>
      </x:bottom>
    </x:border>
    <x:border>
      <x:left style="thin">
        <x:color rgb="FFD7E1E8"/>
      </x:left>
      <x:bottom style="thin">
        <x:color rgb="FFD7E1E8"/>
      </x:bottom>
    </x:border>
    <x:border>
      <x:right style="thin">
        <x:color rgb="FFD7E1E8"/>
      </x:right>
      <x:top style="thin">
        <x:color rgb="FFD7E1E8"/>
      </x:top>
      <x:bottom style="thin">
        <x:color rgb="FFD7E1E8"/>
      </x:bottom>
    </x:border>
    <x:border>
      <x:left style="thin">
        <x:color rgb="FFD7E1E8"/>
      </x:left>
      <x:right style="thin">
        <x:color rgb="FFD7E1E8"/>
      </x:right>
      <x:top style="thin">
        <x:color rgb="FFD7E1E8"/>
      </x:top>
      <x:bottom style="thin">
        <x:color rgb="FFD7E1E8"/>
      </x:bottom>
    </x:border>
    <x:border>
      <x:left style="thin">
        <x:color rgb="FFD7E1E8"/>
      </x:left>
      <x:top style="thin">
        <x:color rgb="FFD7E1E8"/>
      </x:top>
      <x:bottom style="thin">
        <x:color rgb="FFD7E1E8"/>
      </x:bottom>
    </x:border>
    <x:border>
      <x:right style="thin">
        <x:color rgb="FFD7E1E8"/>
      </x:right>
      <x:top style="thin">
        <x:color rgb="FFD7E1E8"/>
      </x:top>
    </x:border>
    <x:border>
      <x:left style="thin">
        <x:color rgb="FFD7E1E8"/>
      </x:left>
      <x:right style="thin">
        <x:color rgb="FFD7E1E8"/>
      </x:right>
      <x:top style="thin">
        <x:color rgb="FFD7E1E8"/>
      </x:top>
    </x:border>
    <x:border>
      <x:left style="thin">
        <x:color rgb="FFD7E1E8"/>
      </x:left>
      <x:top style="thin">
        <x:color rgb="FFD7E1E8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7" borderId="8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1" fontId="0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2E6B3E"/>
      </x:font>
      <x:fill>
        <x:patternFill patternType="solid">
          <x:bgColor rgb="FFD9EAD3"/>
        </x:patternFill>
      </x:fill>
    </x:dxf>
    <x:dxf>
      <x:font>
        <x:color rgb="FFA33B2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f6c3a3f143494b" /><Relationship Type="http://schemas.openxmlformats.org/officeDocument/2006/relationships/theme" Target="/xl/theme/theme1.xml" Id="Ra9ed566a9d0e4353" /><Relationship Type="http://schemas.openxmlformats.org/officeDocument/2006/relationships/sharedStrings" Target="/xl/sharedStrings.xml" Id="R9f42927a6bd94635" /><Relationship Type="http://schemas.openxmlformats.org/officeDocument/2006/relationships/worksheet" Target="/xl/worksheets/sheet1.xml" Id="R5fefb8cc9f1c4119" /></Relationships>
</file>

<file path=xl/tables/table1.xml><?xml version="1.0" encoding="utf-8"?>
<x:table xmlns:x="http://schemas.openxmlformats.org/spreadsheetml/2006/main" id="1" name="ContentLibraryTable" displayName="ContentLibraryTable" ref="A5:P17" headerRowCount="1" totalsRowCount="0" totalsRowShown="0">
  <x:autoFilter ref="A5:P17"/>
  <x:tableColumns count="16">
    <x:tableColumn id="1" name="内容 ID"/>
    <x:tableColumn id="2" name="内容类型"/>
    <x:tableColumn id="3" name="中文内容"/>
    <x:tableColumn id="4" name="语言"/>
    <x:tableColumn id="5" name="主题标签"/>
    <x:tableColumn id="6" name="关联日历 / 功能"/>
    <x:tableColumn id="7" name="作者 / 来源"/>
    <x:tableColumn id="8" name="来源链接"/>
    <x:tableColumn id="9" name="可信说明"/>
    <x:tableColumn id="10" name="审核状态"/>
    <x:tableColumn id="11" name="发布状态"/>
    <x:tableColumn id="12" name="发布检查"/>
    <x:tableColumn id="13" name="权重"/>
    <x:tableColumn id="14" name="启用日期"/>
    <x:tableColumn id="15" name="停用日期"/>
    <x:tableColumn id="16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bc32944bcc40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42" hidden="0" customWidth="1"/>
    <x:col min="4" max="4" width="10" hidden="0" customWidth="1"/>
    <x:col min="5" max="5" width="18" hidden="0" customWidth="1"/>
    <x:col min="6" max="6" width="22" hidden="0" customWidth="1"/>
    <x:col min="7" max="7" width="20" hidden="0" customWidth="1"/>
    <x:col min="8" max="8" width="28" hidden="0" customWidth="1"/>
    <x:col min="9" max="9" width="20" hidden="0" customWidth="1"/>
    <x:col min="10" max="10" width="12" hidden="0" customWidth="1"/>
    <x:col min="11" max="11" width="12" hidden="0" customWidth="1"/>
    <x:col min="12" max="12" width="12" hidden="0" customWidth="1"/>
    <x:col min="13" max="13" width="8" hidden="0" customWidth="1"/>
    <x:col min="14" max="14" width="13" hidden="0" customWidth="1"/>
    <x:col min="15" max="15" width="13" hidden="0" customWidth="1"/>
    <x:col min="16" max="16" width="28" hidden="0" customWidth="1"/>
  </x:cols>
  <x:sheetData>
    <x:row r="1" ht="30" customHeight="1">
      <x:c r="A1" s="4" t="str">
        <x:v>KeepOn 固定信息条内容库｜本地维护主表</x:v>
      </x:c>
    </x:row>
    <x:row r="2" ht="28" customHeight="1">
      <x:c r="A2" s="8" t="str">
        <x:v>用途：这是内容编辑与审核的唯一基准。KeepOn 运行时只读取由此导出的公开内容，不把用户任务、账号或云同步资料写入本表。</x:v>
      </x:c>
    </x:row>
    <x:row r="3" ht="30" customHeight="1">
      <x:c r="A3" s="12" t="str">
        <x:v>维护规则：一行一条内容；先填审核状态，再决定是否发布。首版仅允许 历法知识 / 节日知识 / 使用技巧。普通内容在应用内每 40 秒淡切，不能使用来源不明的名人引文。</x:v>
      </x:c>
    </x:row>
    <x:row r="5" ht="34" customHeight="1">
      <x:c r="A5" s="24" t="str">
        <x:v>内容 ID</x:v>
      </x:c>
      <x:c r="B5" s="25" t="str">
        <x:v>内容类型</x:v>
      </x:c>
      <x:c r="C5" s="25" t="str">
        <x:v>中文内容</x:v>
      </x:c>
      <x:c r="D5" s="25" t="str">
        <x:v>语言</x:v>
      </x:c>
      <x:c r="E5" s="25" t="str">
        <x:v>主题标签</x:v>
      </x:c>
      <x:c r="F5" s="25" t="str">
        <x:v>关联日历 / 功能</x:v>
      </x:c>
      <x:c r="G5" s="25" t="str">
        <x:v>作者 / 来源</x:v>
      </x:c>
      <x:c r="H5" s="25" t="str">
        <x:v>来源链接</x:v>
      </x:c>
      <x:c r="I5" s="25" t="str">
        <x:v>可信说明</x:v>
      </x:c>
      <x:c r="J5" s="25" t="str">
        <x:v>审核状态</x:v>
      </x:c>
      <x:c r="K5" s="25" t="str">
        <x:v>发布状态</x:v>
      </x:c>
      <x:c r="L5" s="25" t="str">
        <x:v>发布检查</x:v>
      </x:c>
      <x:c r="M5" s="25" t="str">
        <x:v>权重</x:v>
      </x:c>
      <x:c r="N5" s="25" t="str">
        <x:v>启用日期</x:v>
      </x:c>
      <x:c r="O5" s="25" t="str">
        <x:v>停用日期</x:v>
      </x:c>
      <x:c r="P5" s="26" t="str">
        <x:v>备注</x:v>
      </x:c>
    </x:row>
    <x:row r="6" ht="42" customHeight="1">
      <x:c r="A6" s="54" t="str">
        <x:v>KON-CONTENT-001</x:v>
      </x:c>
      <x:c r="B6" s="55" t="str">
        <x:v>历法知识</x:v>
      </x:c>
      <x:c r="C6" s="49" t="str">
        <x:v>月历给出日子，历法解释日子从哪里来。</x:v>
      </x:c>
      <x:c r="D6" s="49" t="str">
        <x:v>zh-CN</x:v>
      </x:c>
      <x:c r="E6" s="49" t="str">
        <x:v>历法,公历</x:v>
      </x:c>
      <x:c r="F6" s="49" t="str">
        <x:v>主日历</x:v>
      </x:c>
      <x:c r="G6" s="49" t="str">
        <x:v>KeepOn 内容库原创</x:v>
      </x:c>
      <x:c r="H6" s="49" t="str"/>
      <x:c r="I6" s="49" t="str">
        <x:v>内部原创；已审核</x:v>
      </x:c>
      <x:c r="J6" s="56" t="str">
        <x:v>已审核</x:v>
      </x:c>
      <x:c r="K6" s="56" t="str">
        <x:v>已发布</x:v>
      </x:c>
      <x:c r="L6" s="56" t="str">
        <x:f>IF(AND(A6&lt;&gt;"",B6&lt;&gt;"",C6&lt;&gt;"",D6&lt;&gt;"",J6="已审核",K6="已发布",M6&gt;0),"可发布","待完善")</x:f>
        <x:v>可发布</x:v>
      </x:c>
      <x:c r="M6" s="57" t="n">
        <x:v>10</x:v>
      </x:c>
      <x:c r="N6" s="58"/>
      <x:c r="O6" s="58"/>
      <x:c r="P6" s="49" t="str">
        <x:v>首批基础内容</x:v>
      </x:c>
    </x:row>
    <x:row r="7" ht="42" customHeight="1">
      <x:c r="A7" s="54" t="str">
        <x:v>KON-CONTENT-002</x:v>
      </x:c>
      <x:c r="B7" s="55" t="str">
        <x:v>历法知识</x:v>
      </x:c>
      <x:c r="C7" s="49" t="str">
        <x:v>副历不是另一份节日提醒；它是同一天的另一种日期表达。</x:v>
      </x:c>
      <x:c r="D7" s="49" t="str">
        <x:v>zh-CN</x:v>
      </x:c>
      <x:c r="E7" s="49" t="str">
        <x:v>历法,副历</x:v>
      </x:c>
      <x:c r="F7" s="49" t="str">
        <x:v>副历设置</x:v>
      </x:c>
      <x:c r="G7" s="49" t="str">
        <x:v>KeepOn 内容库原创</x:v>
      </x:c>
      <x:c r="H7" s="49" t="str"/>
      <x:c r="I7" s="49" t="str">
        <x:v>内部原创；已审核</x:v>
      </x:c>
      <x:c r="J7" s="56" t="str">
        <x:v>已审核</x:v>
      </x:c>
      <x:c r="K7" s="56" t="str">
        <x:v>已发布</x:v>
      </x:c>
      <x:c r="L7" s="56" t="str">
        <x:f>IF(AND(A7&lt;&gt;"",B7&lt;&gt;"",C7&lt;&gt;"",D7&lt;&gt;"",J7="已审核",K7="已发布",M7&gt;0),"可发布","待完善")</x:f>
        <x:v>可发布</x:v>
      </x:c>
      <x:c r="M7" s="57" t="n">
        <x:v>10</x:v>
      </x:c>
      <x:c r="N7" s="58"/>
      <x:c r="O7" s="58"/>
      <x:c r="P7" s="49" t="str">
        <x:v>说明副历与日历源的区别</x:v>
      </x:c>
    </x:row>
    <x:row r="8" ht="42" customHeight="1">
      <x:c r="A8" s="54" t="str">
        <x:v>KON-CONTENT-003</x:v>
      </x:c>
      <x:c r="B8" s="55" t="str">
        <x:v>历法知识</x:v>
      </x:c>
      <x:c r="C8" s="49" t="str">
        <x:v>节气标记太阳的位置，农历月份记录月相的循环。</x:v>
      </x:c>
      <x:c r="D8" s="49" t="str">
        <x:v>zh-CN</x:v>
      </x:c>
      <x:c r="E8" s="49" t="str">
        <x:v>历法,节气,农历</x:v>
      </x:c>
      <x:c r="F8" s="49" t="str">
        <x:v>中国二十四节气</x:v>
      </x:c>
      <x:c r="G8" s="49" t="str">
        <x:v>KeepOn 内容库原创</x:v>
      </x:c>
      <x:c r="H8" s="49" t="str"/>
      <x:c r="I8" s="49" t="str">
        <x:v>内部原创；已审核</x:v>
      </x:c>
      <x:c r="J8" s="56" t="str">
        <x:v>已审核</x:v>
      </x:c>
      <x:c r="K8" s="56" t="str">
        <x:v>已发布</x:v>
      </x:c>
      <x:c r="L8" s="56" t="str">
        <x:f>IF(AND(A8&lt;&gt;"",B8&lt;&gt;"",C8&lt;&gt;"",D8&lt;&gt;"",J8="已审核",K8="已发布",M8&gt;0),"可发布","待完善")</x:f>
        <x:v>可发布</x:v>
      </x:c>
      <x:c r="M8" s="57" t="n">
        <x:v>9</x:v>
      </x:c>
      <x:c r="N8" s="58"/>
      <x:c r="O8" s="58"/>
      <x:c r="P8" s="49" t="str">
        <x:v>需与公开规则文章互链</x:v>
      </x:c>
    </x:row>
    <x:row r="9" ht="42" customHeight="1">
      <x:c r="A9" s="54" t="str">
        <x:v>KON-CONTENT-004</x:v>
      </x:c>
      <x:c r="B9" s="55" t="str">
        <x:v>历法知识</x:v>
      </x:c>
      <x:c r="C9" s="49" t="str">
        <x:v>一个公历月跨两个农历月，不是错误，是两套周期自然相遇。</x:v>
      </x:c>
      <x:c r="D9" s="49" t="str">
        <x:v>zh-CN</x:v>
      </x:c>
      <x:c r="E9" s="49" t="str">
        <x:v>历法,农历</x:v>
      </x:c>
      <x:c r="F9" s="49" t="str">
        <x:v>中国农历</x:v>
      </x:c>
      <x:c r="G9" s="49" t="str">
        <x:v>KeepOn 内容库原创</x:v>
      </x:c>
      <x:c r="H9" s="49" t="str"/>
      <x:c r="I9" s="49" t="str">
        <x:v>内部原创；已审核</x:v>
      </x:c>
      <x:c r="J9" s="56" t="str">
        <x:v>已审核</x:v>
      </x:c>
      <x:c r="K9" s="56" t="str">
        <x:v>已发布</x:v>
      </x:c>
      <x:c r="L9" s="56" t="str">
        <x:f>IF(AND(A9&lt;&gt;"",B9&lt;&gt;"",C9&lt;&gt;"",D9&lt;&gt;"",J9="已审核",K9="已发布",M9&gt;0),"可发布","待完善")</x:f>
        <x:v>可发布</x:v>
      </x:c>
      <x:c r="M9" s="57" t="n">
        <x:v>9</x:v>
      </x:c>
      <x:c r="N9" s="58"/>
      <x:c r="O9" s="58"/>
      <x:c r="P9" s="49" t="str">
        <x:v>适合农历跨月时展示</x:v>
      </x:c>
    </x:row>
    <x:row r="10" ht="42" customHeight="1">
      <x:c r="A10" s="54" t="str">
        <x:v>KON-CONTENT-005</x:v>
      </x:c>
      <x:c r="B10" s="55" t="str">
        <x:v>节日知识</x:v>
      </x:c>
      <x:c r="C10" s="49" t="str">
        <x:v>节日源告诉你今天值得记住什么；你决定怎样过这一天。</x:v>
      </x:c>
      <x:c r="D10" s="49" t="str">
        <x:v>zh-CN</x:v>
      </x:c>
      <x:c r="E10" s="49" t="str">
        <x:v>节日,日历源</x:v>
      </x:c>
      <x:c r="F10" s="49" t="str">
        <x:v>日历源</x:v>
      </x:c>
      <x:c r="G10" s="49" t="str">
        <x:v>KeepOn 内容库原创</x:v>
      </x:c>
      <x:c r="H10" s="49" t="str"/>
      <x:c r="I10" s="49" t="str">
        <x:v>内部原创；已审核</x:v>
      </x:c>
      <x:c r="J10" s="56" t="str">
        <x:v>已审核</x:v>
      </x:c>
      <x:c r="K10" s="56" t="str">
        <x:v>已发布</x:v>
      </x:c>
      <x:c r="L10" s="56" t="str">
        <x:f>IF(AND(A10&lt;&gt;"",B10&lt;&gt;"",C10&lt;&gt;"",D10&lt;&gt;"",J10="已审核",K10="已发布",M10&gt;0),"可发布","待完善")</x:f>
        <x:v>可发布</x:v>
      </x:c>
      <x:c r="M10" s="57" t="n">
        <x:v>10</x:v>
      </x:c>
      <x:c r="N10" s="58"/>
      <x:c r="O10" s="58"/>
      <x:c r="P10" s="49" t="str">
        <x:v>通用节日源内容</x:v>
      </x:c>
    </x:row>
    <x:row r="11" ht="42" customHeight="1">
      <x:c r="A11" s="54" t="str">
        <x:v>KON-CONTENT-006</x:v>
      </x:c>
      <x:c r="B11" s="55" t="str">
        <x:v>节日知识</x:v>
      </x:c>
      <x:c r="C11" s="49" t="str">
        <x:v>同名节日也可能因国家、宗教与传统而拥有不同日期和意义。</x:v>
      </x:c>
      <x:c r="D11" s="49" t="str">
        <x:v>zh-CN</x:v>
      </x:c>
      <x:c r="E11" s="49" t="str">
        <x:v>节日,文化,宗教</x:v>
      </x:c>
      <x:c r="F11" s="49" t="str">
        <x:v>日历源</x:v>
      </x:c>
      <x:c r="G11" s="49" t="str">
        <x:v>KeepOn 内容库原创</x:v>
      </x:c>
      <x:c r="H11" s="49" t="str"/>
      <x:c r="I11" s="49" t="str">
        <x:v>内部原创；已审核</x:v>
      </x:c>
      <x:c r="J11" s="56" t="str">
        <x:v>已审核</x:v>
      </x:c>
      <x:c r="K11" s="56" t="str">
        <x:v>已发布</x:v>
      </x:c>
      <x:c r="L11" s="56" t="str">
        <x:f>IF(AND(A11&lt;&gt;"",B11&lt;&gt;"",C11&lt;&gt;"",D11&lt;&gt;"",J11="已审核",K11="已发布",M11&gt;0),"可发布","待完善")</x:f>
        <x:v>可发布</x:v>
      </x:c>
      <x:c r="M11" s="57" t="n">
        <x:v>8</x:v>
      </x:c>
      <x:c r="N11" s="58"/>
      <x:c r="O11" s="58"/>
      <x:c r="P11" s="49" t="str">
        <x:v>适合国际节日源说明</x:v>
      </x:c>
    </x:row>
    <x:row r="12" ht="42" customHeight="1">
      <x:c r="A12" s="54" t="str">
        <x:v>KON-CONTENT-007</x:v>
      </x:c>
      <x:c r="B12" s="55" t="str">
        <x:v>节日知识</x:v>
      </x:c>
      <x:c r="C12" s="49" t="str">
        <x:v>日历上的提醒不是催促，它是在替生活保留坐标。</x:v>
      </x:c>
      <x:c r="D12" s="49" t="str">
        <x:v>zh-CN</x:v>
      </x:c>
      <x:c r="E12" s="49" t="str">
        <x:v>节日,生活</x:v>
      </x:c>
      <x:c r="F12" s="49" t="str">
        <x:v>主日历</x:v>
      </x:c>
      <x:c r="G12" s="49" t="str">
        <x:v>KeepOn 内容库原创</x:v>
      </x:c>
      <x:c r="H12" s="49" t="str"/>
      <x:c r="I12" s="49" t="str">
        <x:v>内部原创；已审核</x:v>
      </x:c>
      <x:c r="J12" s="56" t="str">
        <x:v>已审核</x:v>
      </x:c>
      <x:c r="K12" s="56" t="str">
        <x:v>已发布</x:v>
      </x:c>
      <x:c r="L12" s="56" t="str">
        <x:f>IF(AND(A12&lt;&gt;"",B12&lt;&gt;"",C12&lt;&gt;"",D12&lt;&gt;"",J12="已审核",K12="已发布",M12&gt;0),"可发布","待完善")</x:f>
        <x:v>可发布</x:v>
      </x:c>
      <x:c r="M12" s="57" t="n">
        <x:v>8</x:v>
      </x:c>
      <x:c r="N12" s="58"/>
      <x:c r="O12" s="58"/>
      <x:c r="P12" s="49" t="str">
        <x:v>通用情绪内容</x:v>
      </x:c>
    </x:row>
    <x:row r="13" ht="42" customHeight="1">
      <x:c r="A13" s="54" t="str">
        <x:v>KON-CONTENT-008</x:v>
      </x:c>
      <x:c r="B13" s="55" t="str">
        <x:v>使用技巧</x:v>
      </x:c>
      <x:c r="C13" s="49" t="str">
        <x:v>启用日历源后，节日会在后台生成；首次同步请稍等片刻。</x:v>
      </x:c>
      <x:c r="D13" s="49" t="str">
        <x:v>zh-CN</x:v>
      </x:c>
      <x:c r="E13" s="49" t="str">
        <x:v>技巧,日历源,同步</x:v>
      </x:c>
      <x:c r="F13" s="49" t="str">
        <x:v>日历源</x:v>
      </x:c>
      <x:c r="G13" s="49" t="str">
        <x:v>KeepOn 内容库原创</x:v>
      </x:c>
      <x:c r="H13" s="49" t="str"/>
      <x:c r="I13" s="49" t="str">
        <x:v>功能事实；已审核</x:v>
      </x:c>
      <x:c r="J13" s="56" t="str">
        <x:v>已审核</x:v>
      </x:c>
      <x:c r="K13" s="56" t="str">
        <x:v>已发布</x:v>
      </x:c>
      <x:c r="L13" s="56" t="str">
        <x:f>IF(AND(A13&lt;&gt;"",B13&lt;&gt;"",C13&lt;&gt;"",D13&lt;&gt;"",J13="已审核",K13="已发布",M13&gt;0),"可发布","待完善")</x:f>
        <x:v>可发布</x:v>
      </x:c>
      <x:c r="M13" s="57" t="n">
        <x:v>12</x:v>
      </x:c>
      <x:c r="N13" s="58"/>
      <x:c r="O13" s="58"/>
      <x:c r="P13" s="49" t="str">
        <x:v>首次缓存生成提示</x:v>
      </x:c>
    </x:row>
    <x:row r="14" ht="42" customHeight="1">
      <x:c r="A14" s="54" t="str">
        <x:v>KON-CONTENT-009</x:v>
      </x:c>
      <x:c r="B14" s="55" t="str">
        <x:v>使用技巧</x:v>
      </x:c>
      <x:c r="C14" s="49" t="str">
        <x:v>副历用于读日期，日历源用于收节日；分清它们，设置会更轻松。</x:v>
      </x:c>
      <x:c r="D14" s="49" t="str">
        <x:v>zh-CN</x:v>
      </x:c>
      <x:c r="E14" s="49" t="str">
        <x:v>技巧,副历,日历源</x:v>
      </x:c>
      <x:c r="F14" s="49" t="str">
        <x:v>副历设置 / 日历源</x:v>
      </x:c>
      <x:c r="G14" s="49" t="str">
        <x:v>KeepOn 内容库原创</x:v>
      </x:c>
      <x:c r="H14" s="49" t="str"/>
      <x:c r="I14" s="49" t="str">
        <x:v>功能事实；已审核</x:v>
      </x:c>
      <x:c r="J14" s="56" t="str">
        <x:v>已审核</x:v>
      </x:c>
      <x:c r="K14" s="56" t="str">
        <x:v>已发布</x:v>
      </x:c>
      <x:c r="L14" s="56" t="str">
        <x:f>IF(AND(A14&lt;&gt;"",B14&lt;&gt;"",C14&lt;&gt;"",D14&lt;&gt;"",J14="已审核",K14="已发布",M14&gt;0),"可发布","待完善")</x:f>
        <x:v>可发布</x:v>
      </x:c>
      <x:c r="M14" s="57" t="n">
        <x:v>11</x:v>
      </x:c>
      <x:c r="N14" s="58"/>
      <x:c r="O14" s="58"/>
      <x:c r="P14" s="49" t="str">
        <x:v>设置帮助内容</x:v>
      </x:c>
    </x:row>
    <x:row r="15" ht="42" customHeight="1">
      <x:c r="A15" s="54" t="str">
        <x:v>KON-CONTENT-010</x:v>
      </x:c>
      <x:c r="B15" s="55" t="str">
        <x:v>使用技巧</x:v>
      </x:c>
      <x:c r="C15" s="49" t="str">
        <x:v>生活页记录的不是任务，而是那些值得被天数记住的事。</x:v>
      </x:c>
      <x:c r="D15" s="49" t="str">
        <x:v>zh-CN</x:v>
      </x:c>
      <x:c r="E15" s="49" t="str">
        <x:v>技巧,生活</x:v>
      </x:c>
      <x:c r="F15" s="49" t="str">
        <x:v>生活</x:v>
      </x:c>
      <x:c r="G15" s="49" t="str">
        <x:v>KeepOn 内容库原创</x:v>
      </x:c>
      <x:c r="H15" s="49" t="str"/>
      <x:c r="I15" s="49" t="str">
        <x:v>功能事实；已审核</x:v>
      </x:c>
      <x:c r="J15" s="56" t="str">
        <x:v>已审核</x:v>
      </x:c>
      <x:c r="K15" s="56" t="str">
        <x:v>已发布</x:v>
      </x:c>
      <x:c r="L15" s="56" t="str">
        <x:f>IF(AND(A15&lt;&gt;"",B15&lt;&gt;"",C15&lt;&gt;"",D15&lt;&gt;"",J15="已审核",K15="已发布",M15&gt;0),"可发布","待完善")</x:f>
        <x:v>可发布</x:v>
      </x:c>
      <x:c r="M15" s="57" t="n">
        <x:v>9</x:v>
      </x:c>
      <x:c r="N15" s="58"/>
      <x:c r="O15" s="58"/>
      <x:c r="P15" s="49" t="str">
        <x:v>生活功能引导</x:v>
      </x:c>
    </x:row>
    <x:row r="16" ht="42" customHeight="1">
      <x:c r="A16" s="54" t="str">
        <x:v>KON-CONTENT-011</x:v>
      </x:c>
      <x:c r="B16" s="55" t="str">
        <x:v>使用技巧</x:v>
      </x:c>
      <x:c r="C16" s="49" t="str">
        <x:v>项目和会员信息只需记一次，下一次打开不必再翻聊天记录。</x:v>
      </x:c>
      <x:c r="D16" s="49" t="str">
        <x:v>zh-CN</x:v>
      </x:c>
      <x:c r="E16" s="49" t="str">
        <x:v>技巧,项目,会员</x:v>
      </x:c>
      <x:c r="F16" s="49" t="str">
        <x:v>项目 / 会员</x:v>
      </x:c>
      <x:c r="G16" s="49" t="str">
        <x:v>KeepOn 内容库原创</x:v>
      </x:c>
      <x:c r="H16" s="49" t="str"/>
      <x:c r="I16" s="49" t="str">
        <x:v>功能事实；已审核</x:v>
      </x:c>
      <x:c r="J16" s="56" t="str">
        <x:v>已审核</x:v>
      </x:c>
      <x:c r="K16" s="56" t="str">
        <x:v>已发布</x:v>
      </x:c>
      <x:c r="L16" s="56" t="str">
        <x:f>IF(AND(A16&lt;&gt;"",B16&lt;&gt;"",C16&lt;&gt;"",D16&lt;&gt;"",J16="已审核",K16="已发布",M16&gt;0),"可发布","待完善")</x:f>
        <x:v>可发布</x:v>
      </x:c>
      <x:c r="M16" s="57" t="n">
        <x:v>8</x:v>
      </x:c>
      <x:c r="N16" s="58"/>
      <x:c r="O16" s="58"/>
      <x:c r="P16" s="49" t="str">
        <x:v>项目与会员模块引导</x:v>
      </x:c>
    </x:row>
    <x:row r="17" ht="42" customHeight="1">
      <x:c r="A17" s="54" t="str">
        <x:v>KON-CONTENT-012</x:v>
      </x:c>
      <x:c r="B17" s="55" t="str">
        <x:v>使用技巧</x:v>
      </x:c>
      <x:c r="C17" s="49" t="str">
        <x:v>切换副历时，公历始终是主历；不同的是你选择如何理解今天。</x:v>
      </x:c>
      <x:c r="D17" s="49" t="str">
        <x:v>zh-CN</x:v>
      </x:c>
      <x:c r="E17" s="49" t="str">
        <x:v>技巧,副历,公历</x:v>
      </x:c>
      <x:c r="F17" s="49" t="str">
        <x:v>副历设置</x:v>
      </x:c>
      <x:c r="G17" s="49" t="str">
        <x:v>KeepOn 内容库原创</x:v>
      </x:c>
      <x:c r="H17" s="49" t="str"/>
      <x:c r="I17" s="49" t="str">
        <x:v>功能事实；已审核</x:v>
      </x:c>
      <x:c r="J17" s="56" t="str">
        <x:v>已审核</x:v>
      </x:c>
      <x:c r="K17" s="56" t="str">
        <x:v>已发布</x:v>
      </x:c>
      <x:c r="L17" s="56" t="str">
        <x:f>IF(AND(A17&lt;&gt;"",B17&lt;&gt;"",C17&lt;&gt;"",D17&lt;&gt;"",J17="已审核",K17="已发布",M17&gt;0),"可发布","待完善")</x:f>
        <x:v>可发布</x:v>
      </x:c>
      <x:c r="M17" s="57" t="n">
        <x:v>9</x:v>
      </x:c>
      <x:c r="N17" s="58"/>
      <x:c r="O17" s="58"/>
      <x:c r="P17" s="49" t="str">
        <x:v>主副历说明</x:v>
      </x:c>
    </x:row>
  </x:sheetData>
  <x:mergeCells>
    <x:mergeCell ref="A1:P1"/>
    <x:mergeCell ref="A2:P2"/>
    <x:mergeCell ref="A3:P3"/>
  </x:mergeCells>
  <x:conditionalFormatting sqref="L6:L205">
    <x:cfRule type="containsText" dxfId="0" priority="1" operator="containsText" text="可发布"/>
    <x:cfRule type="containsText" dxfId="1" priority="2" operator="containsText" text="待完善"/>
  </x:conditionalFormatting>
  <x:dataValidations count="5">
    <x:dataValidation type="list" sqref="B6:B205">
      <x:formula1>"历法知识,节日知识,使用技巧"</x:formula1>
    </x:dataValidation>
    <x:dataValidation type="list" sqref="D6:D205">
      <x:formula1>"zh-CN,en-US,ja-JP,ar,other"</x:formula1>
    </x:dataValidation>
    <x:dataValidation type="list" sqref="J6:J205">
      <x:formula1>"草稿,待复核,已审核"</x:formula1>
    </x:dataValidation>
    <x:dataValidation type="list" sqref="K6:K205">
      <x:formula1>"未发布,已发布,已停用"</x:formula1>
    </x:dataValidation>
    <x:dataValidation type="whole" operator="between" sqref="M6:M205">
      <x:formula1>1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9bc32944bcc40dc"/>
  </x:tableParts>
</x:worksheet>
</file>